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Weekly Order Log" sheetId="2" state="visible" r:id="rId4"/>
    <sheet name="Substitution Analysis" sheetId="3" state="visible" r:id="rId5"/>
    <sheet name="Process Improvemen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<sst xmlns="http://schemas.openxmlformats.org/spreadsheetml/2006/main" count="86" uniqueCount="76">
  <si>
    <t xml:space="preserve">Order Fulfillment — Executive Summary</t>
  </si>
  <si>
    <t xml:space="preserve">Total Orders</t>
  </si>
  <si>
    <t xml:space="preserve">Accurate Orders</t>
  </si>
  <si>
    <t xml:space="preserve">Accuracy Rate</t>
  </si>
  <si>
    <t xml:space="preserve">Total Subs</t>
  </si>
  <si>
    <t xml:space="preserve">Sub Rate</t>
  </si>
  <si>
    <t xml:space="preserve">Top Substitution Categories</t>
  </si>
  <si>
    <t xml:space="preserve">Rank</t>
  </si>
  <si>
    <t xml:space="preserve">Category</t>
  </si>
  <si>
    <t xml:space="preserve">% of Subs</t>
  </si>
  <si>
    <t xml:space="preserve">Primary Root Cause</t>
  </si>
  <si>
    <t xml:space="preserve">Produce</t>
  </si>
  <si>
    <t xml:space="preserve">Seasonal stock gaps</t>
  </si>
  <si>
    <t xml:space="preserve">Deli / Prepared</t>
  </si>
  <si>
    <t xml:space="preserve">High turnover</t>
  </si>
  <si>
    <t xml:space="preserve">Dairy</t>
  </si>
  <si>
    <t xml:space="preserve">Brand-specific OOS</t>
  </si>
  <si>
    <t xml:space="preserve">Key Takeaway: 98.0% accuracy across 1,044 orders. Produce &amp; Deli substitutions account for 55% of all subs — targeted restocking coordination is the highest-leverage process improvement.</t>
  </si>
  <si>
    <t xml:space="preserve">Whole Foods Order Fulfillment Tracker  |  Summer 2024</t>
  </si>
  <si>
    <t xml:space="preserve">Week</t>
  </si>
  <si>
    <t xml:space="preserve">Orders Completed</t>
  </si>
  <si>
    <t xml:space="preserve">Substitutions Made</t>
  </si>
  <si>
    <t xml:space="preserve">Departments Coordinated</t>
  </si>
  <si>
    <t xml:space="preserve">Notes</t>
  </si>
  <si>
    <t xml:space="preserve">Week 1</t>
  </si>
  <si>
    <t xml:space="preserve">Strong start</t>
  </si>
  <si>
    <t xml:space="preserve">Week 2</t>
  </si>
  <si>
    <t xml:space="preserve">Produce subs high</t>
  </si>
  <si>
    <t xml:space="preserve">Week 3</t>
  </si>
  <si>
    <t xml:space="preserve">Best volume week</t>
  </si>
  <si>
    <t xml:space="preserve">Week 4</t>
  </si>
  <si>
    <t xml:space="preserve">Short-staffed Fri</t>
  </si>
  <si>
    <t xml:space="preserve">Week 5</t>
  </si>
  <si>
    <t xml:space="preserve">Week 6</t>
  </si>
  <si>
    <t xml:space="preserve">Lowest sub rate</t>
  </si>
  <si>
    <t xml:space="preserve">Week 7</t>
  </si>
  <si>
    <t xml:space="preserve">Week 8</t>
  </si>
  <si>
    <t xml:space="preserve">Weekend rush</t>
  </si>
  <si>
    <t xml:space="preserve">Week 9</t>
  </si>
  <si>
    <t xml:space="preserve">Week 10</t>
  </si>
  <si>
    <t xml:space="preserve">Last week — peak</t>
  </si>
  <si>
    <t xml:space="preserve">TOTALS / AVG</t>
  </si>
  <si>
    <t xml:space="preserve">Substitution Frequency by Product Category</t>
  </si>
  <si>
    <t xml:space="preserve">% of All Subs</t>
  </si>
  <si>
    <t xml:space="preserve">Avg Subs/Week</t>
  </si>
  <si>
    <t xml:space="preserve">Root Cause</t>
  </si>
  <si>
    <t xml:space="preserve">Seasonal stock gaps, perishable OOS</t>
  </si>
  <si>
    <t xml:space="preserve">High turnover, limited backstock</t>
  </si>
  <si>
    <t xml:space="preserve">Brand-specific requests hard to fill</t>
  </si>
  <si>
    <t xml:space="preserve">Bakery</t>
  </si>
  <si>
    <t xml:space="preserve">Morning rush depletion</t>
  </si>
  <si>
    <t xml:space="preserve">Meat &amp; Seafood</t>
  </si>
  <si>
    <t xml:space="preserve">Weight variance issues</t>
  </si>
  <si>
    <t xml:space="preserve">Pantry / Dry</t>
  </si>
  <si>
    <t xml:space="preserve">Low — stable inventory</t>
  </si>
  <si>
    <t xml:space="preserve">TOTAL</t>
  </si>
  <si>
    <t xml:space="preserve">Process Improvement Recommendations</t>
  </si>
  <si>
    <t xml:space="preserve">Issue Identified</t>
  </si>
  <si>
    <t xml:space="preserve">Recommendation</t>
  </si>
  <si>
    <t xml:space="preserve">Expected Impact</t>
  </si>
  <si>
    <t xml:space="preserve">High produce substitution rate (30% of all subs)</t>
  </si>
  <si>
    <t xml:space="preserve">Seasonal stock gaps &amp; perishable OOS not flagged until order fulfillment</t>
  </si>
  <si>
    <t xml:space="preserve">Implement a pre-shift inventory check for top-10 high-sub SKUs; flag gaps before orders drop</t>
  </si>
  <si>
    <t xml:space="preserve">Estimated 30–40% reduction in produce subs</t>
  </si>
  <si>
    <t xml:space="preserve">Deli substitutions spike on weekday mornings</t>
  </si>
  <si>
    <t xml:space="preserve">High turnover depletes prepared food stock before morning orders complete</t>
  </si>
  <si>
    <t xml:space="preserve">Coordinate with deli team to stagger restocking before 9am order window opens</t>
  </si>
  <si>
    <t xml:space="preserve">Smoother AM fulfillment; fewer customer callbacks</t>
  </si>
  <si>
    <t xml:space="preserve">Dairy subs driven by brand-specific requests</t>
  </si>
  <si>
    <t xml:space="preserve">Customers request specific brands that are frequently OOS</t>
  </si>
  <si>
    <t xml:space="preserve">Surface in-stock brand alternatives earlier in picker app; pre-approve common swaps</t>
  </si>
  <si>
    <t xml:space="preserve">Reduce sub resolution time; improve customer satisfaction</t>
  </si>
  <si>
    <t xml:space="preserve">Overall 98% accuracy rate — maintain floor</t>
  </si>
  <si>
    <t xml:space="preserve">Accuracy dips on high-volume weeks (110+ orders)</t>
  </si>
  <si>
    <t xml:space="preserve">Cap single-picker load at 110 orders/week; route overflow to second picker</t>
  </si>
  <si>
    <t xml:space="preserve">Sustain 98%+ accuracy at scale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</si>
</sst>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b val="true"/>
      <sz val="8"/>
      <color rgb="FF6B7280"/>
      <name val="Arial"/>
      <family val="0"/>
      <charset val="1"/>
    </font>
    <font>
      <b val="true"/>
      <sz val="16"/>
      <color rgb="FF1E3A5F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F111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3"/>
      <color rgb="FF1E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1117"/>
      <name val="Arial"/>
      <family val="0"/>
      <charset val="1"/>
    </font>
    <font>
      <sz val="10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0F2F5"/>
        <bgColor rgb="FFE5E7EB"/>
      </patternFill>
    </fill>
    <fill>
      <patternFill patternType="solid">
        <fgColor rgb="FFFFFFFF"/>
        <bgColor rgb="FFF0F2F5"/>
      </patternFill>
    </fill>
    <fill>
      <patternFill patternType="solid">
        <fgColor rgb="FF2563EB"/>
        <bgColor rgb="FF0066CC"/>
      </patternFill>
    </fill>
    <fill>
      <patternFill patternType="solid">
        <fgColor rgb="FF1E3A5F"/>
        <bgColor rgb="FF333333"/>
      </patternFill>
    </fill>
    <fill>
      <patternFill patternType="solid">
        <fgColor rgb="FFDBEAFE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2F5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0F11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6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31.5" hidden="false" customHeight="true" outlineLevel="0" collapsed="false">
      <c r="A4" s="3" t="n">
        <f aca="false">'Weekly Order Log'!B13</f>
        <v>1044</v>
      </c>
      <c r="B4" s="3" t="n">
        <f aca="false">'Weekly Order Log'!C13</f>
        <v>1024</v>
      </c>
      <c r="C4" s="4" t="n">
        <f aca="false">'Weekly Order Log'!D13</f>
        <v>0.980842911877395</v>
      </c>
      <c r="D4" s="3" t="n">
        <f aca="false">'Weekly Order Log'!E13</f>
        <v>47</v>
      </c>
      <c r="E4" s="4" t="n">
        <f aca="false">'Weekly Order Log'!F13</f>
        <v>0.0450191570881226</v>
      </c>
    </row>
    <row r="5" customFormat="false" ht="15.75" hidden="false" customHeight="true" outlineLevel="0" collapsed="false">
      <c r="A5" s="5"/>
      <c r="B5" s="5"/>
      <c r="C5" s="5"/>
      <c r="D5" s="5"/>
      <c r="E5" s="5"/>
    </row>
    <row r="7" customFormat="false" ht="19.5" hidden="false" customHeight="true" outlineLevel="0" collapsed="false">
      <c r="A7" s="6" t="s">
        <v>6</v>
      </c>
      <c r="B7" s="6"/>
      <c r="C7" s="6"/>
      <c r="D7" s="6"/>
      <c r="E7" s="6"/>
      <c r="F7" s="6"/>
    </row>
    <row r="8" customFormat="false" ht="19.5" hidden="false" customHeight="true" outlineLevel="0" collapsed="false">
      <c r="A8" s="7" t="s">
        <v>7</v>
      </c>
      <c r="B8" s="7" t="s">
        <v>8</v>
      </c>
      <c r="C8" s="7" t="s">
        <v>4</v>
      </c>
      <c r="D8" s="7" t="s">
        <v>9</v>
      </c>
      <c r="E8" s="7" t="s">
        <v>10</v>
      </c>
    </row>
    <row r="9" customFormat="false" ht="18" hidden="false" customHeight="true" outlineLevel="0" collapsed="false">
      <c r="A9" s="8" t="n">
        <v>1</v>
      </c>
      <c r="B9" s="9" t="s">
        <v>11</v>
      </c>
      <c r="C9" s="8" t="n">
        <f aca="false">'Substitution Analysis'!B3</f>
        <v>16</v>
      </c>
      <c r="D9" s="10" t="n">
        <f aca="false">'Substitution Analysis'!C3</f>
        <v>0.340425531914894</v>
      </c>
      <c r="E9" s="9" t="s">
        <v>12</v>
      </c>
    </row>
    <row r="10" customFormat="false" ht="18" hidden="false" customHeight="true" outlineLevel="0" collapsed="false">
      <c r="A10" s="11" t="n">
        <v>2</v>
      </c>
      <c r="B10" s="12" t="s">
        <v>13</v>
      </c>
      <c r="C10" s="11" t="n">
        <f aca="false">'Substitution Analysis'!B4</f>
        <v>10</v>
      </c>
      <c r="D10" s="13" t="n">
        <f aca="false">'Substitution Analysis'!C4</f>
        <v>0.212765957446809</v>
      </c>
      <c r="E10" s="12" t="s">
        <v>14</v>
      </c>
    </row>
    <row r="11" customFormat="false" ht="18" hidden="false" customHeight="true" outlineLevel="0" collapsed="false">
      <c r="A11" s="8" t="n">
        <v>3</v>
      </c>
      <c r="B11" s="9" t="s">
        <v>15</v>
      </c>
      <c r="C11" s="8" t="n">
        <f aca="false">'Substitution Analysis'!B5</f>
        <v>8</v>
      </c>
      <c r="D11" s="10" t="n">
        <f aca="false">'Substitution Analysis'!C5</f>
        <v>0.170212765957447</v>
      </c>
      <c r="E11" s="9" t="s">
        <v>16</v>
      </c>
    </row>
    <row r="13" customFormat="false" ht="36" hidden="false" customHeight="true" outlineLevel="0" collapsed="false">
      <c r="A13" s="14" t="s">
        <v>17</v>
      </c>
      <c r="B13" s="14"/>
      <c r="C13" s="14"/>
      <c r="D13" s="14"/>
      <c r="E13" s="14"/>
      <c r="F13" s="14"/>
    </row>
  </sheetData>
  <mergeCells count="3">
    <mergeCell ref="A1:F1"/>
    <mergeCell ref="A7:F7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28"/>
  </cols>
  <sheetData>
    <row r="1" customFormat="false" ht="27.75" hidden="false" customHeight="true" outlineLevel="0" collapsed="false">
      <c r="A1" s="15" t="s">
        <v>18</v>
      </c>
      <c r="B1" s="15"/>
      <c r="C1" s="15"/>
      <c r="D1" s="15"/>
      <c r="E1" s="15"/>
      <c r="F1" s="15"/>
      <c r="G1" s="15"/>
      <c r="H1" s="15"/>
    </row>
    <row r="2" customFormat="false" ht="21.75" hidden="false" customHeight="true" outlineLevel="0" collapsed="false">
      <c r="A2" s="16" t="s">
        <v>19</v>
      </c>
      <c r="B2" s="16" t="s">
        <v>20</v>
      </c>
      <c r="C2" s="16" t="s">
        <v>2</v>
      </c>
      <c r="D2" s="16" t="s">
        <v>3</v>
      </c>
      <c r="E2" s="16" t="s">
        <v>21</v>
      </c>
      <c r="F2" s="16" t="s">
        <v>5</v>
      </c>
      <c r="G2" s="16" t="s">
        <v>22</v>
      </c>
      <c r="H2" s="16" t="s">
        <v>23</v>
      </c>
    </row>
    <row r="3" customFormat="false" ht="18" hidden="false" customHeight="true" outlineLevel="0" collapsed="false">
      <c r="A3" s="17" t="s">
        <v>24</v>
      </c>
      <c r="B3" s="17" t="n">
        <v>102</v>
      </c>
      <c r="C3" s="17" t="n">
        <v>100</v>
      </c>
      <c r="D3" s="18" t="n">
        <f aca="false">C3/B3</f>
        <v>0.980392156862745</v>
      </c>
      <c r="E3" s="17" t="n">
        <v>4</v>
      </c>
      <c r="F3" s="18" t="n">
        <f aca="false">E3/B3</f>
        <v>0.0392156862745098</v>
      </c>
      <c r="G3" s="17" t="n">
        <v>4</v>
      </c>
      <c r="H3" s="19" t="s">
        <v>25</v>
      </c>
    </row>
    <row r="4" customFormat="false" ht="18" hidden="false" customHeight="true" outlineLevel="0" collapsed="false">
      <c r="A4" s="20" t="s">
        <v>26</v>
      </c>
      <c r="B4" s="20" t="n">
        <v>98</v>
      </c>
      <c r="C4" s="20" t="n">
        <v>96</v>
      </c>
      <c r="D4" s="21" t="n">
        <f aca="false">C4/B4</f>
        <v>0.979591836734694</v>
      </c>
      <c r="E4" s="20" t="n">
        <v>6</v>
      </c>
      <c r="F4" s="21" t="n">
        <f aca="false">E4/B4</f>
        <v>0.0612244897959184</v>
      </c>
      <c r="G4" s="20" t="n">
        <v>4</v>
      </c>
      <c r="H4" s="22" t="s">
        <v>27</v>
      </c>
    </row>
    <row r="5" customFormat="false" ht="18" hidden="false" customHeight="true" outlineLevel="0" collapsed="false">
      <c r="A5" s="17" t="s">
        <v>28</v>
      </c>
      <c r="B5" s="17" t="n">
        <v>110</v>
      </c>
      <c r="C5" s="17" t="n">
        <v>108</v>
      </c>
      <c r="D5" s="18" t="n">
        <f aca="false">C5/B5</f>
        <v>0.981818181818182</v>
      </c>
      <c r="E5" s="17" t="n">
        <v>5</v>
      </c>
      <c r="F5" s="18" t="n">
        <f aca="false">E5/B5</f>
        <v>0.0454545454545455</v>
      </c>
      <c r="G5" s="17" t="n">
        <v>4</v>
      </c>
      <c r="H5" s="19" t="s">
        <v>29</v>
      </c>
    </row>
    <row r="6" customFormat="false" ht="18" hidden="false" customHeight="true" outlineLevel="0" collapsed="false">
      <c r="A6" s="20" t="s">
        <v>30</v>
      </c>
      <c r="B6" s="20" t="n">
        <v>95</v>
      </c>
      <c r="C6" s="20" t="n">
        <v>93</v>
      </c>
      <c r="D6" s="21" t="n">
        <f aca="false">C6/B6</f>
        <v>0.978947368421053</v>
      </c>
      <c r="E6" s="20" t="n">
        <v>7</v>
      </c>
      <c r="F6" s="21" t="n">
        <f aca="false">E6/B6</f>
        <v>0.0736842105263158</v>
      </c>
      <c r="G6" s="20" t="n">
        <v>3</v>
      </c>
      <c r="H6" s="22" t="s">
        <v>31</v>
      </c>
    </row>
    <row r="7" customFormat="false" ht="18" hidden="false" customHeight="true" outlineLevel="0" collapsed="false">
      <c r="A7" s="17" t="s">
        <v>32</v>
      </c>
      <c r="B7" s="17" t="n">
        <v>105</v>
      </c>
      <c r="C7" s="17" t="n">
        <v>103</v>
      </c>
      <c r="D7" s="18" t="n">
        <f aca="false">C7/B7</f>
        <v>0.980952380952381</v>
      </c>
      <c r="E7" s="17" t="n">
        <v>4</v>
      </c>
      <c r="F7" s="18" t="n">
        <f aca="false">E7/B7</f>
        <v>0.0380952380952381</v>
      </c>
      <c r="G7" s="17" t="n">
        <v>4</v>
      </c>
      <c r="H7" s="19"/>
    </row>
    <row r="8" customFormat="false" ht="18" hidden="false" customHeight="true" outlineLevel="0" collapsed="false">
      <c r="A8" s="20" t="s">
        <v>33</v>
      </c>
      <c r="B8" s="20" t="n">
        <v>112</v>
      </c>
      <c r="C8" s="20" t="n">
        <v>110</v>
      </c>
      <c r="D8" s="21" t="n">
        <f aca="false">C8/B8</f>
        <v>0.982142857142857</v>
      </c>
      <c r="E8" s="20" t="n">
        <v>3</v>
      </c>
      <c r="F8" s="21" t="n">
        <f aca="false">E8/B8</f>
        <v>0.0267857142857143</v>
      </c>
      <c r="G8" s="20" t="n">
        <v>4</v>
      </c>
      <c r="H8" s="22" t="s">
        <v>34</v>
      </c>
    </row>
    <row r="9" customFormat="false" ht="18" hidden="false" customHeight="true" outlineLevel="0" collapsed="false">
      <c r="A9" s="17" t="s">
        <v>35</v>
      </c>
      <c r="B9" s="17" t="n">
        <v>100</v>
      </c>
      <c r="C9" s="17" t="n">
        <v>98</v>
      </c>
      <c r="D9" s="18" t="n">
        <f aca="false">C9/B9</f>
        <v>0.98</v>
      </c>
      <c r="E9" s="17" t="n">
        <v>5</v>
      </c>
      <c r="F9" s="18" t="n">
        <f aca="false">E9/B9</f>
        <v>0.05</v>
      </c>
      <c r="G9" s="17" t="n">
        <v>4</v>
      </c>
      <c r="H9" s="19"/>
    </row>
    <row r="10" customFormat="false" ht="18" hidden="false" customHeight="true" outlineLevel="0" collapsed="false">
      <c r="A10" s="20" t="s">
        <v>36</v>
      </c>
      <c r="B10" s="20" t="n">
        <v>108</v>
      </c>
      <c r="C10" s="20" t="n">
        <v>106</v>
      </c>
      <c r="D10" s="21" t="n">
        <f aca="false">C10/B10</f>
        <v>0.981481481481482</v>
      </c>
      <c r="E10" s="20" t="n">
        <v>6</v>
      </c>
      <c r="F10" s="21" t="n">
        <f aca="false">E10/B10</f>
        <v>0.0555555555555556</v>
      </c>
      <c r="G10" s="20" t="n">
        <v>4</v>
      </c>
      <c r="H10" s="22" t="s">
        <v>37</v>
      </c>
    </row>
    <row r="11" customFormat="false" ht="18" hidden="false" customHeight="true" outlineLevel="0" collapsed="false">
      <c r="A11" s="17" t="s">
        <v>38</v>
      </c>
      <c r="B11" s="17" t="n">
        <v>99</v>
      </c>
      <c r="C11" s="17" t="n">
        <v>97</v>
      </c>
      <c r="D11" s="18" t="n">
        <f aca="false">C11/B11</f>
        <v>0.97979797979798</v>
      </c>
      <c r="E11" s="17" t="n">
        <v>4</v>
      </c>
      <c r="F11" s="18" t="n">
        <f aca="false">E11/B11</f>
        <v>0.0404040404040404</v>
      </c>
      <c r="G11" s="17" t="n">
        <v>3</v>
      </c>
      <c r="H11" s="19"/>
    </row>
    <row r="12" customFormat="false" ht="18" hidden="false" customHeight="true" outlineLevel="0" collapsed="false">
      <c r="A12" s="20" t="s">
        <v>39</v>
      </c>
      <c r="B12" s="20" t="n">
        <v>115</v>
      </c>
      <c r="C12" s="20" t="n">
        <v>113</v>
      </c>
      <c r="D12" s="21" t="n">
        <f aca="false">C12/B12</f>
        <v>0.982608695652174</v>
      </c>
      <c r="E12" s="20" t="n">
        <v>3</v>
      </c>
      <c r="F12" s="21" t="n">
        <f aca="false">E12/B12</f>
        <v>0.0260869565217391</v>
      </c>
      <c r="G12" s="20" t="n">
        <v>4</v>
      </c>
      <c r="H12" s="22" t="s">
        <v>40</v>
      </c>
    </row>
    <row r="13" customFormat="false" ht="19.5" hidden="false" customHeight="true" outlineLevel="0" collapsed="false">
      <c r="A13" s="23" t="s">
        <v>41</v>
      </c>
      <c r="B13" s="23" t="n">
        <f aca="false">SUM(B3:B12)</f>
        <v>1044</v>
      </c>
      <c r="C13" s="23" t="n">
        <f aca="false">SUM(C3:C12)</f>
        <v>1024</v>
      </c>
      <c r="D13" s="24" t="n">
        <f aca="false">C13/B13</f>
        <v>0.980842911877395</v>
      </c>
      <c r="E13" s="23" t="n">
        <f aca="false">SUM(E3:E12)</f>
        <v>47</v>
      </c>
      <c r="F13" s="24" t="n">
        <f aca="false">E13/B13</f>
        <v>0.0450191570881226</v>
      </c>
      <c r="G13" s="25" t="n">
        <f aca="false">AVERAGE(G3:G12)</f>
        <v>3.8</v>
      </c>
      <c r="H13" s="23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5" t="s">
        <v>42</v>
      </c>
      <c r="B1" s="15"/>
      <c r="C1" s="15"/>
      <c r="D1" s="15"/>
      <c r="E1" s="15"/>
    </row>
    <row r="2" customFormat="false" ht="21.75" hidden="false" customHeight="true" outlineLevel="0" collapsed="false">
      <c r="A2" s="16" t="s">
        <v>8</v>
      </c>
      <c r="B2" s="16" t="s">
        <v>4</v>
      </c>
      <c r="C2" s="16" t="s">
        <v>43</v>
      </c>
      <c r="D2" s="16" t="s">
        <v>44</v>
      </c>
      <c r="E2" s="16" t="s">
        <v>45</v>
      </c>
    </row>
    <row r="3" customFormat="false" ht="18" hidden="false" customHeight="true" outlineLevel="0" collapsed="false">
      <c r="A3" s="19" t="s">
        <v>11</v>
      </c>
      <c r="B3" s="17" t="n">
        <v>16</v>
      </c>
      <c r="C3" s="26" t="n">
        <f aca="false">B3/SUM($B$3:$B$8)</f>
        <v>0.340425531914894</v>
      </c>
      <c r="D3" s="27" t="n">
        <f aca="false">B3/10</f>
        <v>1.6</v>
      </c>
      <c r="E3" s="28" t="s">
        <v>46</v>
      </c>
    </row>
    <row r="4" customFormat="false" ht="18" hidden="false" customHeight="true" outlineLevel="0" collapsed="false">
      <c r="A4" s="22" t="s">
        <v>13</v>
      </c>
      <c r="B4" s="20" t="n">
        <v>10</v>
      </c>
      <c r="C4" s="29" t="n">
        <f aca="false">B4/SUM($B$3:$B$8)</f>
        <v>0.212765957446809</v>
      </c>
      <c r="D4" s="30" t="n">
        <f aca="false">B4/10</f>
        <v>1</v>
      </c>
      <c r="E4" s="31" t="s">
        <v>47</v>
      </c>
    </row>
    <row r="5" customFormat="false" ht="18" hidden="false" customHeight="true" outlineLevel="0" collapsed="false">
      <c r="A5" s="19" t="s">
        <v>15</v>
      </c>
      <c r="B5" s="17" t="n">
        <v>8</v>
      </c>
      <c r="C5" s="26" t="n">
        <f aca="false">B5/SUM($B$3:$B$8)</f>
        <v>0.170212765957447</v>
      </c>
      <c r="D5" s="27" t="n">
        <f aca="false">B5/10</f>
        <v>0.8</v>
      </c>
      <c r="E5" s="28" t="s">
        <v>48</v>
      </c>
    </row>
    <row r="6" customFormat="false" ht="18" hidden="false" customHeight="true" outlineLevel="0" collapsed="false">
      <c r="A6" s="22" t="s">
        <v>49</v>
      </c>
      <c r="B6" s="20" t="n">
        <v>6</v>
      </c>
      <c r="C6" s="29" t="n">
        <f aca="false">B6/SUM($B$3:$B$8)</f>
        <v>0.127659574468085</v>
      </c>
      <c r="D6" s="30" t="n">
        <f aca="false">B6/10</f>
        <v>0.6</v>
      </c>
      <c r="E6" s="31" t="s">
        <v>50</v>
      </c>
    </row>
    <row r="7" customFormat="false" ht="18" hidden="false" customHeight="true" outlineLevel="0" collapsed="false">
      <c r="A7" s="19" t="s">
        <v>51</v>
      </c>
      <c r="B7" s="17" t="n">
        <v>4</v>
      </c>
      <c r="C7" s="26" t="n">
        <f aca="false">B7/SUM($B$3:$B$8)</f>
        <v>0.0851063829787234</v>
      </c>
      <c r="D7" s="27" t="n">
        <f aca="false">B7/10</f>
        <v>0.4</v>
      </c>
      <c r="E7" s="28" t="s">
        <v>52</v>
      </c>
    </row>
    <row r="8" customFormat="false" ht="18" hidden="false" customHeight="true" outlineLevel="0" collapsed="false">
      <c r="A8" s="22" t="s">
        <v>53</v>
      </c>
      <c r="B8" s="20" t="n">
        <v>3</v>
      </c>
      <c r="C8" s="29" t="n">
        <f aca="false">B8/SUM($B$3:$B$8)</f>
        <v>0.0638297872340426</v>
      </c>
      <c r="D8" s="30" t="n">
        <f aca="false">B8/10</f>
        <v>0.3</v>
      </c>
      <c r="E8" s="31" t="s">
        <v>54</v>
      </c>
    </row>
    <row r="9" customFormat="false" ht="15" hidden="false" customHeight="false" outlineLevel="0" collapsed="false">
      <c r="A9" s="23" t="s">
        <v>55</v>
      </c>
      <c r="B9" s="23" t="n">
        <f aca="false">SUM(B3:B8)</f>
        <v>47</v>
      </c>
      <c r="C9" s="24" t="n">
        <f aca="false">SUM(C3:C8)</f>
        <v>1</v>
      </c>
      <c r="D9" s="25" t="n">
        <f aca="false">SUM(D3:D8)</f>
        <v>4.7</v>
      </c>
      <c r="E9" s="23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40"/>
    <col collapsed="false" customWidth="true" hidden="false" outlineLevel="0" max="4" min="4" style="0" width="34"/>
  </cols>
  <sheetData>
    <row r="1" customFormat="false" ht="27.75" hidden="false" customHeight="true" outlineLevel="0" collapsed="false">
      <c r="A1" s="15" t="s">
        <v>56</v>
      </c>
      <c r="B1" s="15"/>
      <c r="C1" s="15"/>
      <c r="D1" s="15"/>
    </row>
    <row r="2" customFormat="false" ht="21.75" hidden="false" customHeight="true" outlineLevel="0" collapsed="false">
      <c r="A2" s="16" t="s">
        <v>57</v>
      </c>
      <c r="B2" s="16" t="s">
        <v>45</v>
      </c>
      <c r="C2" s="16" t="s">
        <v>58</v>
      </c>
      <c r="D2" s="16" t="s">
        <v>59</v>
      </c>
    </row>
    <row r="3" customFormat="false" ht="51.75" hidden="false" customHeight="true" outlineLevel="0" collapsed="false">
      <c r="A3" s="32" t="s">
        <v>60</v>
      </c>
      <c r="B3" s="32" t="s">
        <v>61</v>
      </c>
      <c r="C3" s="32" t="s">
        <v>62</v>
      </c>
      <c r="D3" s="32" t="s">
        <v>63</v>
      </c>
    </row>
    <row r="4" customFormat="false" ht="51.75" hidden="false" customHeight="true" outlineLevel="0" collapsed="false">
      <c r="A4" s="33" t="s">
        <v>64</v>
      </c>
      <c r="B4" s="33" t="s">
        <v>65</v>
      </c>
      <c r="C4" s="33" t="s">
        <v>66</v>
      </c>
      <c r="D4" s="33" t="s">
        <v>67</v>
      </c>
    </row>
    <row r="5" customFormat="false" ht="51.75" hidden="false" customHeight="true" outlineLevel="0" collapsed="false">
      <c r="A5" s="32" t="s">
        <v>68</v>
      </c>
      <c r="B5" s="32" t="s">
        <v>69</v>
      </c>
      <c r="C5" s="32" t="s">
        <v>70</v>
      </c>
      <c r="D5" s="32" t="s">
        <v>71</v>
      </c>
    </row>
    <row r="6" customFormat="false" ht="51.75" hidden="false" customHeight="true" outlineLevel="0" collapsed="false">
      <c r="A6" s="33" t="s">
        <v>72</v>
      </c>
      <c r="B6" s="33" t="s">
        <v>73</v>
      </c>
      <c r="C6" s="33" t="s">
        <v>74</v>
      </c>
      <c r="D6" s="33" t="s">
        <v>75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2026-06-28T05:23:22Z</dcterms:created>
  <dc:creator>openpyxl</dc:creator>
  <dc:description/>
  <dc:language>en-US</dc:language>
  <cp:lastModifiedBy/>
  <dcterms:modified xsi:type="dcterms:W3CDTF">2026-06-28T05:23:22Z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